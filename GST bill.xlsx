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78CC52DB-F55F-48D4-ADD9-AF361E3B3398}" xr6:coauthVersionLast="47" xr6:coauthVersionMax="47" xr10:uidLastSave="{00000000-0000-0000-0000-000000000000}"/>
  <bookViews>
    <workbookView xWindow="-108" yWindow="-108" windowWidth="23256" windowHeight="12456" xr2:uid="{B2D682AF-332E-44B4-8D1E-8E32225CA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5" i="1"/>
  <c r="B36" i="1" s="1"/>
  <c r="B38" i="1" s="1"/>
  <c r="D17" i="1"/>
  <c r="E17" i="1" s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F31" i="1" s="1"/>
  <c r="F17" i="1" l="1"/>
</calcChain>
</file>

<file path=xl/sharedStrings.xml><?xml version="1.0" encoding="utf-8"?>
<sst xmlns="http://schemas.openxmlformats.org/spreadsheetml/2006/main" count="31" uniqueCount="31">
  <si>
    <t>Item Name</t>
  </si>
  <si>
    <t>Quantity</t>
  </si>
  <si>
    <t>Rate</t>
  </si>
  <si>
    <t>Amount</t>
  </si>
  <si>
    <t>GST</t>
  </si>
  <si>
    <t>Total Amount</t>
  </si>
  <si>
    <r>
      <rPr>
        <b/>
        <sz val="20"/>
        <color rgb="FF0070C0"/>
        <rFont val="Aptos Narrow"/>
        <family val="2"/>
        <scheme val="minor"/>
      </rPr>
      <t>BT Sales and Product Pvt.Ltd</t>
    </r>
    <r>
      <rPr>
        <sz val="11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 xml:space="preserve">Nayabazer-16,Kathmandu
Contact: 9810000000
</t>
    </r>
  </si>
  <si>
    <t>Mukesh Regmi</t>
  </si>
  <si>
    <t>Raniban, 01 , Kathmandu</t>
  </si>
  <si>
    <t>Contact: 9812000000</t>
  </si>
  <si>
    <t>Date: 30 March 2025</t>
  </si>
  <si>
    <t>Laptop</t>
  </si>
  <si>
    <t>Monitor</t>
  </si>
  <si>
    <t>Keyboard</t>
  </si>
  <si>
    <t>Headphones</t>
  </si>
  <si>
    <t>Smartphone</t>
  </si>
  <si>
    <t>Tablet</t>
  </si>
  <si>
    <t>Router</t>
  </si>
  <si>
    <t>External Hard Drive</t>
  </si>
  <si>
    <t>Wireless Earbuds</t>
  </si>
  <si>
    <t>Webcam</t>
  </si>
  <si>
    <t>Desk Chair</t>
  </si>
  <si>
    <t>Desk Lamp</t>
  </si>
  <si>
    <t>USB Flash Drive</t>
  </si>
  <si>
    <t>Ethernet Cable</t>
  </si>
  <si>
    <t>Power Strip</t>
  </si>
  <si>
    <t>To</t>
  </si>
  <si>
    <t>SGST 9%</t>
  </si>
  <si>
    <t>CGST 9%</t>
  </si>
  <si>
    <t>Total</t>
  </si>
  <si>
    <t xml:space="preserve"> 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</si>
</sst>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BC26-3792-4FA3-9050-EF05FD75DCE5}">
  <dimension ref="A2:G38"/>
  <sheetViews>
    <sheetView tabSelected="1" topLeftCell="A13" zoomScale="102" zoomScaleNormal="102" workbookViewId="0">
      <selection activeCell="I20" sqref="I20"/>
    </sheetView>
  </sheetViews>
  <sheetFormatPr defaultRowHeight="14.4" x14ac:dyDescent="0.3"/>
  <cols>
    <col min="1" max="1" width="21.21875" customWidth="1"/>
    <col min="2" max="2" width="9.6640625" customWidth="1"/>
    <col min="3" max="3" width="10.88671875" customWidth="1"/>
    <col min="4" max="4" width="11.109375" customWidth="1"/>
    <col min="5" max="5" width="12.6640625" customWidth="1"/>
    <col min="6" max="6" width="13.44140625" customWidth="1"/>
  </cols>
  <sheetData>
    <row r="2" spans="1:7" x14ac:dyDescent="0.3">
      <c r="A2" s="2" t="s">
        <v>6</v>
      </c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3"/>
      <c r="B4" s="3"/>
      <c r="C4" s="3"/>
      <c r="D4" s="3"/>
      <c r="E4" s="3"/>
      <c r="F4" s="3"/>
      <c r="G4" s="3"/>
    </row>
    <row r="5" spans="1:7" ht="28.8" customHeight="1" x14ac:dyDescent="0.3">
      <c r="A5" s="4"/>
      <c r="B5" s="4"/>
      <c r="C5" s="4"/>
      <c r="D5" s="4"/>
      <c r="E5" s="4"/>
      <c r="F5" s="4"/>
      <c r="G5" s="4"/>
    </row>
    <row r="9" spans="1:7" x14ac:dyDescent="0.3">
      <c r="A9" s="1" t="s">
        <v>26</v>
      </c>
    </row>
    <row r="10" spans="1:7" x14ac:dyDescent="0.3">
      <c r="A10" t="s">
        <v>7</v>
      </c>
      <c r="E10" s="1" t="s">
        <v>10</v>
      </c>
      <c r="F10" s="1"/>
    </row>
    <row r="11" spans="1:7" x14ac:dyDescent="0.3">
      <c r="A11" t="s">
        <v>8</v>
      </c>
    </row>
    <row r="12" spans="1:7" x14ac:dyDescent="0.3">
      <c r="A12" t="s">
        <v>9</v>
      </c>
    </row>
    <row r="16" spans="1:7" ht="15.6" x14ac:dyDescent="0.3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</row>
    <row r="17" spans="1:6" x14ac:dyDescent="0.3">
      <c r="A17" s="8" t="s">
        <v>11</v>
      </c>
      <c r="B17" s="8">
        <v>50</v>
      </c>
      <c r="C17" s="8">
        <v>1200</v>
      </c>
      <c r="D17" s="9">
        <f>B17*C17</f>
        <v>60000</v>
      </c>
      <c r="E17" s="9">
        <f>D17*15/100</f>
        <v>9000</v>
      </c>
      <c r="F17" s="9">
        <f>SUM(D17,E17)</f>
        <v>69000</v>
      </c>
    </row>
    <row r="18" spans="1:6" x14ac:dyDescent="0.3">
      <c r="A18" s="8" t="s">
        <v>12</v>
      </c>
      <c r="B18" s="8">
        <v>40</v>
      </c>
      <c r="C18" s="8">
        <v>500</v>
      </c>
      <c r="D18" s="9">
        <f t="shared" ref="D18:D31" si="0">B18*C18</f>
        <v>20000</v>
      </c>
      <c r="E18" s="9">
        <f t="shared" ref="E18:E31" si="1">D18*15/100</f>
        <v>3000</v>
      </c>
      <c r="F18" s="9">
        <f t="shared" ref="F18:F31" si="2">SUM(D18,E18)</f>
        <v>23000</v>
      </c>
    </row>
    <row r="19" spans="1:6" x14ac:dyDescent="0.3">
      <c r="A19" s="8" t="s">
        <v>13</v>
      </c>
      <c r="B19" s="8">
        <v>60</v>
      </c>
      <c r="C19" s="8">
        <v>50</v>
      </c>
      <c r="D19" s="9">
        <f t="shared" si="0"/>
        <v>3000</v>
      </c>
      <c r="E19" s="9">
        <f t="shared" si="1"/>
        <v>450</v>
      </c>
      <c r="F19" s="9">
        <f t="shared" si="2"/>
        <v>3450</v>
      </c>
    </row>
    <row r="20" spans="1:6" x14ac:dyDescent="0.3">
      <c r="A20" s="8" t="s">
        <v>14</v>
      </c>
      <c r="B20" s="8">
        <v>30</v>
      </c>
      <c r="C20" s="8">
        <v>100</v>
      </c>
      <c r="D20" s="9">
        <f t="shared" si="0"/>
        <v>3000</v>
      </c>
      <c r="E20" s="9">
        <f t="shared" si="1"/>
        <v>450</v>
      </c>
      <c r="F20" s="9">
        <f t="shared" si="2"/>
        <v>3450</v>
      </c>
    </row>
    <row r="21" spans="1:6" x14ac:dyDescent="0.3">
      <c r="A21" s="8" t="s">
        <v>15</v>
      </c>
      <c r="B21" s="8">
        <v>70</v>
      </c>
      <c r="C21" s="8">
        <v>900</v>
      </c>
      <c r="D21" s="9">
        <f t="shared" si="0"/>
        <v>63000</v>
      </c>
      <c r="E21" s="9">
        <f t="shared" si="1"/>
        <v>9450</v>
      </c>
      <c r="F21" s="9">
        <f t="shared" si="2"/>
        <v>72450</v>
      </c>
    </row>
    <row r="22" spans="1:6" x14ac:dyDescent="0.3">
      <c r="A22" s="8" t="s">
        <v>16</v>
      </c>
      <c r="B22" s="8">
        <v>45</v>
      </c>
      <c r="C22" s="8">
        <v>700</v>
      </c>
      <c r="D22" s="9">
        <f t="shared" si="0"/>
        <v>31500</v>
      </c>
      <c r="E22" s="9">
        <f t="shared" si="1"/>
        <v>4725</v>
      </c>
      <c r="F22" s="9">
        <f t="shared" si="2"/>
        <v>36225</v>
      </c>
    </row>
    <row r="23" spans="1:6" x14ac:dyDescent="0.3">
      <c r="A23" s="8" t="s">
        <v>17</v>
      </c>
      <c r="B23" s="8">
        <v>55</v>
      </c>
      <c r="C23" s="8">
        <v>150</v>
      </c>
      <c r="D23" s="9">
        <f t="shared" si="0"/>
        <v>8250</v>
      </c>
      <c r="E23" s="9">
        <f t="shared" si="1"/>
        <v>1237.5</v>
      </c>
      <c r="F23" s="9">
        <f t="shared" si="2"/>
        <v>9487.5</v>
      </c>
    </row>
    <row r="24" spans="1:6" x14ac:dyDescent="0.3">
      <c r="A24" s="8" t="s">
        <v>18</v>
      </c>
      <c r="B24" s="8">
        <v>25</v>
      </c>
      <c r="C24" s="8">
        <v>200</v>
      </c>
      <c r="D24" s="9">
        <f t="shared" si="0"/>
        <v>5000</v>
      </c>
      <c r="E24" s="9">
        <f t="shared" si="1"/>
        <v>750</v>
      </c>
      <c r="F24" s="9">
        <f t="shared" si="2"/>
        <v>5750</v>
      </c>
    </row>
    <row r="25" spans="1:6" x14ac:dyDescent="0.3">
      <c r="A25" s="8" t="s">
        <v>19</v>
      </c>
      <c r="B25" s="8">
        <v>35</v>
      </c>
      <c r="C25" s="8">
        <v>80</v>
      </c>
      <c r="D25" s="9">
        <f t="shared" si="0"/>
        <v>2800</v>
      </c>
      <c r="E25" s="9">
        <f t="shared" si="1"/>
        <v>420</v>
      </c>
      <c r="F25" s="9">
        <f t="shared" si="2"/>
        <v>3220</v>
      </c>
    </row>
    <row r="26" spans="1:6" x14ac:dyDescent="0.3">
      <c r="A26" s="8" t="s">
        <v>20</v>
      </c>
      <c r="B26" s="8">
        <v>40</v>
      </c>
      <c r="C26" s="8">
        <v>60</v>
      </c>
      <c r="D26" s="9">
        <f t="shared" si="0"/>
        <v>2400</v>
      </c>
      <c r="E26" s="9">
        <f t="shared" si="1"/>
        <v>360</v>
      </c>
      <c r="F26" s="9">
        <f t="shared" si="2"/>
        <v>2760</v>
      </c>
    </row>
    <row r="27" spans="1:6" x14ac:dyDescent="0.3">
      <c r="A27" s="8" t="s">
        <v>21</v>
      </c>
      <c r="B27" s="8">
        <v>20</v>
      </c>
      <c r="C27" s="8">
        <v>150</v>
      </c>
      <c r="D27" s="9">
        <f t="shared" si="0"/>
        <v>3000</v>
      </c>
      <c r="E27" s="9">
        <f t="shared" si="1"/>
        <v>450</v>
      </c>
      <c r="F27" s="9">
        <f t="shared" si="2"/>
        <v>3450</v>
      </c>
    </row>
    <row r="28" spans="1:6" x14ac:dyDescent="0.3">
      <c r="A28" s="8" t="s">
        <v>22</v>
      </c>
      <c r="B28" s="8">
        <v>30</v>
      </c>
      <c r="C28" s="8">
        <v>30</v>
      </c>
      <c r="D28" s="9">
        <f t="shared" si="0"/>
        <v>900</v>
      </c>
      <c r="E28" s="9">
        <f t="shared" si="1"/>
        <v>135</v>
      </c>
      <c r="F28" s="9">
        <f t="shared" si="2"/>
        <v>1035</v>
      </c>
    </row>
    <row r="29" spans="1:6" x14ac:dyDescent="0.3">
      <c r="A29" s="8" t="s">
        <v>23</v>
      </c>
      <c r="B29" s="8">
        <v>50</v>
      </c>
      <c r="C29" s="8">
        <v>20</v>
      </c>
      <c r="D29" s="9">
        <f t="shared" si="0"/>
        <v>1000</v>
      </c>
      <c r="E29" s="9">
        <f t="shared" si="1"/>
        <v>150</v>
      </c>
      <c r="F29" s="9">
        <f t="shared" si="2"/>
        <v>1150</v>
      </c>
    </row>
    <row r="30" spans="1:6" x14ac:dyDescent="0.3">
      <c r="A30" s="8" t="s">
        <v>24</v>
      </c>
      <c r="B30" s="8">
        <v>60</v>
      </c>
      <c r="C30" s="8">
        <v>10</v>
      </c>
      <c r="D30" s="9">
        <f t="shared" si="0"/>
        <v>600</v>
      </c>
      <c r="E30" s="9">
        <f t="shared" si="1"/>
        <v>90</v>
      </c>
      <c r="F30" s="9">
        <f t="shared" si="2"/>
        <v>690</v>
      </c>
    </row>
    <row r="31" spans="1:6" x14ac:dyDescent="0.3">
      <c r="A31" s="8" t="s">
        <v>25</v>
      </c>
      <c r="B31" s="8">
        <v>40</v>
      </c>
      <c r="C31" s="8">
        <v>35</v>
      </c>
      <c r="D31" s="9">
        <f t="shared" si="0"/>
        <v>1400</v>
      </c>
      <c r="E31" s="9">
        <f t="shared" si="1"/>
        <v>210</v>
      </c>
      <c r="F31" s="9">
        <f t="shared" si="2"/>
        <v>1610</v>
      </c>
    </row>
    <row r="35" spans="1:2" ht="15.6" x14ac:dyDescent="0.3">
      <c r="A35" s="5" t="s">
        <v>30</v>
      </c>
      <c r="B35">
        <f>SUM(D17:D31)</f>
        <v>205850</v>
      </c>
    </row>
    <row r="36" spans="1:2" ht="15.6" x14ac:dyDescent="0.3">
      <c r="A36" s="5" t="s">
        <v>27</v>
      </c>
      <c r="B36">
        <f>B35*9/100</f>
        <v>18526.5</v>
      </c>
    </row>
    <row r="37" spans="1:2" ht="15.6" x14ac:dyDescent="0.3">
      <c r="A37" s="5" t="s">
        <v>28</v>
      </c>
      <c r="B37">
        <f>B35*9/100</f>
        <v>18526.5</v>
      </c>
    </row>
    <row r="38" spans="1:2" ht="15.6" x14ac:dyDescent="0.3">
      <c r="A38" s="6" t="s">
        <v>29</v>
      </c>
      <c r="B38" s="6">
        <f>SUM(B35:B37)</f>
        <v>242903</v>
      </c>
    </row>
  </sheetData>
  <mergeCells count="1">
    <mergeCell ref="A2:G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cp:lastPrinted>2026-01-03T01:01:57Z</cp:lastPrinted>
  <dcterms:created xsi:type="dcterms:W3CDTF">2026-01-03T00:26:40Z</dcterms:created>
  <dcterms:modified xsi:type="dcterms:W3CDTF">2026-01-03T01:02:18Z</dcterms:modified>
</cp:coreProperties>
</file>